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arcp\Documents\"/>
    </mc:Choice>
  </mc:AlternateContent>
  <xr:revisionPtr revIDLastSave="0" documentId="13_ncr:1_{232ADCDD-91D9-44F3-ACBC-B5AA95A494E2}" xr6:coauthVersionLast="47" xr6:coauthVersionMax="47" xr10:uidLastSave="{00000000-0000-0000-0000-000000000000}"/>
  <bookViews>
    <workbookView xWindow="-110" yWindow="-110" windowWidth="19420" windowHeight="11500" xr2:uid="{BE7A2B68-382D-4F8F-8E5C-C1757E07896F}"/>
  </bookViews>
  <sheets>
    <sheet name="Sheet1" sheetId="1" r:id="rId1"/>
    <sheet name="Sheet2" sheetId="2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" l="1"/>
  <c r="G4" i="4" s="1"/>
  <c r="H7" i="2"/>
  <c r="H5" i="2"/>
  <c r="H5" i="1"/>
  <c r="H6" i="1"/>
  <c r="H6" i="2"/>
  <c r="H7" i="1"/>
  <c r="H4" i="2"/>
  <c r="H3" i="2"/>
  <c r="H4" i="1"/>
  <c r="H3" i="1"/>
  <c r="E4" i="2"/>
  <c r="E5" i="2"/>
  <c r="E6" i="2"/>
  <c r="E7" i="2"/>
  <c r="E8" i="2"/>
  <c r="E9" i="2"/>
  <c r="E10" i="2"/>
  <c r="E11" i="2"/>
  <c r="E12" i="2"/>
  <c r="E13" i="2"/>
  <c r="E3" i="2"/>
  <c r="D13" i="2"/>
  <c r="D12" i="2"/>
  <c r="D11" i="2"/>
  <c r="D10" i="2"/>
  <c r="D9" i="2"/>
  <c r="D8" i="2"/>
  <c r="D7" i="2"/>
  <c r="D6" i="2"/>
  <c r="D5" i="2"/>
  <c r="D4" i="2"/>
  <c r="D3" i="2"/>
  <c r="E4" i="1"/>
  <c r="E5" i="1"/>
  <c r="E6" i="1"/>
  <c r="E7" i="1"/>
  <c r="E3" i="1"/>
  <c r="D4" i="1"/>
  <c r="D5" i="1"/>
  <c r="D6" i="1"/>
  <c r="D7" i="1"/>
  <c r="D3" i="1"/>
  <c r="G7" i="4" l="1"/>
  <c r="G6" i="4"/>
  <c r="G5" i="4"/>
  <c r="F9" i="4" l="1"/>
</calcChain>
</file>

<file path=xl/sharedStrings.xml><?xml version="1.0" encoding="utf-8"?>
<sst xmlns="http://schemas.openxmlformats.org/spreadsheetml/2006/main" count="25" uniqueCount="19">
  <si>
    <t>Grades</t>
  </si>
  <si>
    <t>Sleep Rank</t>
  </si>
  <si>
    <t>Sleep (hr)</t>
  </si>
  <si>
    <t>Grades Rank</t>
  </si>
  <si>
    <t>rs</t>
  </si>
  <si>
    <t>N</t>
  </si>
  <si>
    <t>T</t>
  </si>
  <si>
    <t>DF</t>
  </si>
  <si>
    <t>p</t>
  </si>
  <si>
    <t>Positive</t>
  </si>
  <si>
    <t>Age (yr)</t>
  </si>
  <si>
    <t>BMI (kg/m2)</t>
  </si>
  <si>
    <t>Age Rank</t>
  </si>
  <si>
    <t>BMI Rank</t>
  </si>
  <si>
    <t>SF</t>
  </si>
  <si>
    <t>n</t>
  </si>
  <si>
    <t>e</t>
  </si>
  <si>
    <t>Stratified Sampling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</si>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</sst>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1" fontId="0" fillId="0" borderId="6" xfId="0" applyNumberForma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/>
    <xf numFmtId="0" fontId="2" fillId="0" borderId="10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8DD2-64A0-4B1C-ABA0-41F440417B9C}">
  <dimension ref="B1:I7"/>
  <sheetViews>
    <sheetView tabSelected="1" zoomScale="115" zoomScaleNormal="115" workbookViewId="0">
      <selection activeCell="F7" sqref="F7"/>
    </sheetView>
  </sheetViews>
  <sheetFormatPr defaultRowHeight="14.5" x14ac:dyDescent="0.35"/>
  <cols>
    <col min="2" max="2" width="8.81640625" customWidth="1"/>
    <col min="3" max="3" width="11.54296875" customWidth="1"/>
    <col min="4" max="4" width="12.54296875" customWidth="1"/>
    <col min="5" max="5" width="12.1796875" customWidth="1"/>
    <col min="8" max="8" width="12.90625" customWidth="1"/>
    <col min="9" max="9" width="10.81640625" customWidth="1"/>
  </cols>
  <sheetData>
    <row r="1" spans="2:9" ht="15" thickBot="1" x14ac:dyDescent="0.4"/>
    <row r="2" spans="2:9" ht="15" thickBot="1" x14ac:dyDescent="0.4">
      <c r="B2" s="3" t="s">
        <v>0</v>
      </c>
      <c r="C2" s="4" t="s">
        <v>2</v>
      </c>
      <c r="D2" s="4" t="s">
        <v>3</v>
      </c>
      <c r="E2" s="5" t="s">
        <v>1</v>
      </c>
    </row>
    <row r="3" spans="2:9" x14ac:dyDescent="0.35">
      <c r="B3" s="1">
        <v>89</v>
      </c>
      <c r="C3" s="1">
        <v>5</v>
      </c>
      <c r="D3" s="1">
        <f>_xlfn.RANK.AVG(B3, $B$3:$B$7,1)</f>
        <v>1</v>
      </c>
      <c r="E3" s="1">
        <f>_xlfn.RANK.AVG(C3, $C$3:$C$7, 1)</f>
        <v>1</v>
      </c>
      <c r="G3" s="7" t="s">
        <v>4</v>
      </c>
      <c r="H3" s="6">
        <f>CORREL(D3:D7,E3:E7)</f>
        <v>0.97467943448089633</v>
      </c>
      <c r="I3" t="s">
        <v>9</v>
      </c>
    </row>
    <row r="4" spans="2:9" x14ac:dyDescent="0.35">
      <c r="B4" s="2">
        <v>90</v>
      </c>
      <c r="C4" s="2">
        <v>6</v>
      </c>
      <c r="D4" s="1">
        <f t="shared" ref="D4:D7" si="0">_xlfn.RANK.AVG(B4, $B$3:$B$7,1)</f>
        <v>2</v>
      </c>
      <c r="E4" s="1">
        <f t="shared" ref="E4:E7" si="1">_xlfn.RANK.AVG(C4, $C$3:$C$7, 1)</f>
        <v>2.5</v>
      </c>
      <c r="G4" s="8" t="s">
        <v>5</v>
      </c>
      <c r="H4" s="6">
        <f>COUNT(B3:B7)</f>
        <v>5</v>
      </c>
    </row>
    <row r="5" spans="2:9" x14ac:dyDescent="0.35">
      <c r="B5" s="2">
        <v>94</v>
      </c>
      <c r="C5" s="2">
        <v>7</v>
      </c>
      <c r="D5" s="1">
        <f t="shared" si="0"/>
        <v>4</v>
      </c>
      <c r="E5" s="1">
        <f t="shared" si="1"/>
        <v>4</v>
      </c>
      <c r="G5" s="8" t="s">
        <v>6</v>
      </c>
      <c r="H5" s="6">
        <f>(ABS(H3)*SQRT(H4-2))/(SQRT(1-H3)^2)</f>
        <v>66.672851376076764</v>
      </c>
    </row>
    <row r="6" spans="2:9" x14ac:dyDescent="0.35">
      <c r="B6" s="2">
        <v>92</v>
      </c>
      <c r="C6" s="2">
        <v>6</v>
      </c>
      <c r="D6" s="1">
        <f t="shared" si="0"/>
        <v>3</v>
      </c>
      <c r="E6" s="1">
        <f t="shared" si="1"/>
        <v>2.5</v>
      </c>
      <c r="G6" s="8" t="s">
        <v>7</v>
      </c>
      <c r="H6" s="6">
        <f>H4-2</f>
        <v>3</v>
      </c>
    </row>
    <row r="7" spans="2:9" ht="15" thickBot="1" x14ac:dyDescent="0.4">
      <c r="B7" s="2">
        <v>96</v>
      </c>
      <c r="C7" s="2">
        <v>9</v>
      </c>
      <c r="D7" s="1">
        <f t="shared" si="0"/>
        <v>5</v>
      </c>
      <c r="E7" s="1">
        <f t="shared" si="1"/>
        <v>5</v>
      </c>
      <c r="G7" s="9" t="s">
        <v>8</v>
      </c>
      <c r="H7" s="6">
        <f>TDIST(H5, H6, 2)</f>
        <v>7.4348473819469703E-6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6876-C444-48C6-924F-459C5C3296B8}">
  <dimension ref="B1:H13"/>
  <sheetViews>
    <sheetView zoomScale="130" zoomScaleNormal="130" workbookViewId="0">
      <selection activeCell="L6" sqref="L6"/>
    </sheetView>
  </sheetViews>
  <sheetFormatPr defaultRowHeight="14.5" x14ac:dyDescent="0.35"/>
  <cols>
    <col min="2" max="2" width="10.26953125" customWidth="1"/>
    <col min="3" max="3" width="12.26953125" customWidth="1"/>
    <col min="4" max="4" width="9.81640625" customWidth="1"/>
    <col min="5" max="5" width="9.6328125" customWidth="1"/>
    <col min="8" max="8" width="13.90625" customWidth="1"/>
  </cols>
  <sheetData>
    <row r="1" spans="2:8" ht="15" thickBot="1" x14ac:dyDescent="0.4"/>
    <row r="2" spans="2:8" ht="15" thickBot="1" x14ac:dyDescent="0.4">
      <c r="B2" s="13" t="s">
        <v>10</v>
      </c>
      <c r="C2" s="14" t="s">
        <v>11</v>
      </c>
      <c r="D2" s="14" t="s">
        <v>12</v>
      </c>
      <c r="E2" s="15" t="s">
        <v>13</v>
      </c>
      <c r="G2" s="12"/>
    </row>
    <row r="3" spans="2:8" x14ac:dyDescent="0.35">
      <c r="B3" s="11">
        <v>35</v>
      </c>
      <c r="C3" s="11">
        <v>26</v>
      </c>
      <c r="D3" s="11">
        <f>_xlfn.RANK.AVG(B3, $B$3:$B$13, 0)</f>
        <v>9</v>
      </c>
      <c r="E3" s="11">
        <f>_xlfn.RANK.AVG(C3, $C$3:$C$13, 0)</f>
        <v>8.5</v>
      </c>
      <c r="G3" s="7" t="s">
        <v>4</v>
      </c>
      <c r="H3" s="6">
        <f>CORREL(D3:D13,E3:E13)</f>
        <v>0.52295778843502128</v>
      </c>
    </row>
    <row r="4" spans="2:8" x14ac:dyDescent="0.35">
      <c r="B4" s="10">
        <v>29</v>
      </c>
      <c r="C4" s="10">
        <v>22</v>
      </c>
      <c r="D4" s="11">
        <f t="shared" ref="D4:D13" si="0">_xlfn.RANK.AVG(B4, $B$3:$B$13, 0)</f>
        <v>11</v>
      </c>
      <c r="E4" s="11">
        <f t="shared" ref="E4:E13" si="1">_xlfn.RANK.AVG(C4, $C$3:$C$13, 0)</f>
        <v>10.5</v>
      </c>
      <c r="G4" s="8" t="s">
        <v>5</v>
      </c>
      <c r="H4" s="6">
        <f>COUNT(B3:B13)</f>
        <v>11</v>
      </c>
    </row>
    <row r="5" spans="2:8" x14ac:dyDescent="0.35">
      <c r="B5" s="10">
        <v>41</v>
      </c>
      <c r="C5" s="10">
        <v>32</v>
      </c>
      <c r="D5" s="11">
        <f t="shared" si="0"/>
        <v>6</v>
      </c>
      <c r="E5" s="11">
        <f t="shared" si="1"/>
        <v>1.5</v>
      </c>
      <c r="G5" s="8" t="s">
        <v>6</v>
      </c>
      <c r="H5" s="6">
        <f>(ABS(H3)*SQRT(H4-2))/(SQRT(1-H3)^2)</f>
        <v>3.2887516602739146</v>
      </c>
    </row>
    <row r="6" spans="2:8" x14ac:dyDescent="0.35">
      <c r="B6" s="10">
        <v>66</v>
      </c>
      <c r="C6" s="10">
        <v>28</v>
      </c>
      <c r="D6" s="11">
        <f t="shared" si="0"/>
        <v>1</v>
      </c>
      <c r="E6" s="11">
        <f t="shared" si="1"/>
        <v>6</v>
      </c>
      <c r="G6" s="8" t="s">
        <v>7</v>
      </c>
      <c r="H6" s="6">
        <f>H4-2</f>
        <v>9</v>
      </c>
    </row>
    <row r="7" spans="2:8" ht="15" thickBot="1" x14ac:dyDescent="0.4">
      <c r="B7" s="10">
        <v>53</v>
      </c>
      <c r="C7" s="10">
        <v>31</v>
      </c>
      <c r="D7" s="11">
        <f t="shared" si="0"/>
        <v>3</v>
      </c>
      <c r="E7" s="11">
        <f t="shared" si="1"/>
        <v>3</v>
      </c>
      <c r="G7" s="9" t="s">
        <v>8</v>
      </c>
      <c r="H7" s="6">
        <f>TDIST(H5, H6, 2)</f>
        <v>9.3970508893274213E-3</v>
      </c>
    </row>
    <row r="8" spans="2:8" x14ac:dyDescent="0.35">
      <c r="B8" s="10">
        <v>48</v>
      </c>
      <c r="C8" s="10">
        <v>26</v>
      </c>
      <c r="D8" s="11">
        <f t="shared" si="0"/>
        <v>4</v>
      </c>
      <c r="E8" s="11">
        <f t="shared" si="1"/>
        <v>8.5</v>
      </c>
    </row>
    <row r="9" spans="2:8" x14ac:dyDescent="0.35">
      <c r="B9" s="10">
        <v>60</v>
      </c>
      <c r="C9" s="10">
        <v>30</v>
      </c>
      <c r="D9" s="11">
        <f t="shared" si="0"/>
        <v>2</v>
      </c>
      <c r="E9" s="11">
        <f t="shared" si="1"/>
        <v>4.5</v>
      </c>
    </row>
    <row r="10" spans="2:8" x14ac:dyDescent="0.35">
      <c r="B10" s="10">
        <v>46</v>
      </c>
      <c r="C10" s="10">
        <v>30</v>
      </c>
      <c r="D10" s="11">
        <f t="shared" si="0"/>
        <v>5</v>
      </c>
      <c r="E10" s="11">
        <f t="shared" si="1"/>
        <v>4.5</v>
      </c>
    </row>
    <row r="11" spans="2:8" x14ac:dyDescent="0.35">
      <c r="B11" s="10">
        <v>30</v>
      </c>
      <c r="C11" s="10">
        <v>22</v>
      </c>
      <c r="D11" s="11">
        <f t="shared" si="0"/>
        <v>10</v>
      </c>
      <c r="E11" s="11">
        <f t="shared" si="1"/>
        <v>10.5</v>
      </c>
    </row>
    <row r="12" spans="2:8" x14ac:dyDescent="0.35">
      <c r="B12" s="10">
        <v>36</v>
      </c>
      <c r="C12" s="10">
        <v>27</v>
      </c>
      <c r="D12" s="11">
        <f t="shared" si="0"/>
        <v>8</v>
      </c>
      <c r="E12" s="11">
        <f t="shared" si="1"/>
        <v>7</v>
      </c>
    </row>
    <row r="13" spans="2:8" x14ac:dyDescent="0.35">
      <c r="B13" s="10">
        <v>38</v>
      </c>
      <c r="C13" s="10">
        <v>32</v>
      </c>
      <c r="D13" s="11">
        <f t="shared" si="0"/>
        <v>7</v>
      </c>
      <c r="E13" s="11">
        <f t="shared" si="1"/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B07C-21B3-4D31-9471-B671A6B8E95A}">
  <dimension ref="B1:G9"/>
  <sheetViews>
    <sheetView zoomScale="160" zoomScaleNormal="160" workbookViewId="0">
      <selection activeCell="C5" sqref="C5"/>
    </sheetView>
  </sheetViews>
  <sheetFormatPr defaultRowHeight="14.5" x14ac:dyDescent="0.35"/>
  <cols>
    <col min="3" max="3" width="10.36328125" bestFit="1" customWidth="1"/>
  </cols>
  <sheetData>
    <row r="1" spans="2:7" ht="15" thickBot="1" x14ac:dyDescent="0.4"/>
    <row r="2" spans="2:7" ht="15" thickBot="1" x14ac:dyDescent="0.4">
      <c r="B2" s="26" t="s">
        <v>14</v>
      </c>
      <c r="C2" s="27"/>
      <c r="E2" s="28" t="s">
        <v>17</v>
      </c>
      <c r="F2" s="29"/>
      <c r="G2" s="30"/>
    </row>
    <row r="3" spans="2:7" ht="15" thickBot="1" x14ac:dyDescent="0.4">
      <c r="B3" s="16"/>
    </row>
    <row r="4" spans="2:7" x14ac:dyDescent="0.35">
      <c r="B4" s="17" t="s">
        <v>5</v>
      </c>
      <c r="C4" s="6">
        <v>3589</v>
      </c>
      <c r="E4" s="21">
        <v>7</v>
      </c>
      <c r="F4" s="6">
        <v>800</v>
      </c>
      <c r="G4" s="10">
        <f>(F4/$C$4)*$C$6</f>
        <v>80.220606668337908</v>
      </c>
    </row>
    <row r="5" spans="2:7" x14ac:dyDescent="0.35">
      <c r="B5" s="18" t="s">
        <v>16</v>
      </c>
      <c r="C5" s="6">
        <v>0.05</v>
      </c>
      <c r="E5" s="22">
        <v>8</v>
      </c>
      <c r="F5" s="6">
        <v>1500</v>
      </c>
      <c r="G5" s="10">
        <f t="shared" ref="G5:G7" si="0">(F5/$C$4)*$C$6</f>
        <v>150.4136375031336</v>
      </c>
    </row>
    <row r="6" spans="2:7" ht="15" thickBot="1" x14ac:dyDescent="0.4">
      <c r="B6" s="19" t="s">
        <v>15</v>
      </c>
      <c r="C6" s="20">
        <f>C4/(1 + C4 * C5 ^ 2)</f>
        <v>359.88969666583097</v>
      </c>
      <c r="E6" s="22">
        <v>9</v>
      </c>
      <c r="F6" s="6">
        <v>589</v>
      </c>
      <c r="G6" s="10">
        <f t="shared" si="0"/>
        <v>59.062421659563796</v>
      </c>
    </row>
    <row r="7" spans="2:7" ht="15" thickBot="1" x14ac:dyDescent="0.4">
      <c r="E7" s="23">
        <v>10</v>
      </c>
      <c r="F7" s="6">
        <v>700</v>
      </c>
      <c r="G7" s="10">
        <f t="shared" si="0"/>
        <v>70.193030834795678</v>
      </c>
    </row>
    <row r="8" spans="2:7" ht="15" thickBot="1" x14ac:dyDescent="0.4">
      <c r="E8" s="24"/>
    </row>
    <row r="9" spans="2:7" ht="15" thickBot="1" x14ac:dyDescent="0.4">
      <c r="E9" s="25" t="s">
        <v>18</v>
      </c>
      <c r="F9" s="20">
        <f>SUM(G4:G7)</f>
        <v>359.88969666583091</v>
      </c>
    </row>
  </sheetData>
  <mergeCells count="2">
    <mergeCell ref="B2:C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PHILIP LANDICHO</dc:creator>
  <cp:lastModifiedBy>CalmBubbles 6055</cp:lastModifiedBy>
  <dcterms:created xsi:type="dcterms:W3CDTF">2024-02-14T04:49:38Z</dcterms:created>
  <dcterms:modified xsi:type="dcterms:W3CDTF">2024-03-21T14:14:42Z</dcterms:modified>
</cp:coreProperties>
</file>