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p\Documents\School\Research\Stat\"/>
    </mc:Choice>
  </mc:AlternateContent>
  <xr:revisionPtr revIDLastSave="0" documentId="13_ncr:1_{4DAD379C-54B5-466B-A4E3-5A1AB5C347F2}" xr6:coauthVersionLast="47" xr6:coauthVersionMax="47" xr10:uidLastSave="{00000000-0000-0000-0000-000000000000}"/>
  <bookViews>
    <workbookView xWindow="-110" yWindow="-110" windowWidth="19420" windowHeight="11500" xr2:uid="{204C42EA-E223-4417-BA6C-C3DAF8D4ADC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E5" i="1"/>
  <c r="AE6" i="1"/>
  <c r="AF4" i="1"/>
  <c r="AF5" i="1"/>
  <c r="AG4" i="1"/>
  <c r="AF6" i="1"/>
  <c r="AF8" i="1"/>
  <c r="AF9" i="1"/>
  <c r="AF21" i="1"/>
  <c r="AG21" i="1" s="1"/>
  <c r="AH18" i="1"/>
  <c r="AH14" i="1"/>
  <c r="AH10" i="1"/>
  <c r="AG22" i="1"/>
  <c r="AG20" i="1"/>
  <c r="AG18" i="1"/>
  <c r="AG16" i="1"/>
  <c r="AG14" i="1"/>
  <c r="AG13" i="1"/>
  <c r="AG12" i="1"/>
  <c r="AG10" i="1"/>
  <c r="AG8" i="1"/>
  <c r="AG6" i="1"/>
  <c r="AG5" i="1"/>
  <c r="AG9" i="1"/>
  <c r="AG17" i="1"/>
  <c r="AF22" i="1"/>
  <c r="AF20" i="1"/>
  <c r="AF18" i="1"/>
  <c r="AF17" i="1"/>
  <c r="AF16" i="1"/>
  <c r="AF14" i="1"/>
  <c r="AF13" i="1"/>
  <c r="AF12" i="1"/>
  <c r="AF10" i="1"/>
  <c r="AE22" i="1"/>
  <c r="AE21" i="1"/>
  <c r="AE20" i="1"/>
  <c r="AE18" i="1"/>
  <c r="AE17" i="1"/>
  <c r="AE16" i="1"/>
  <c r="AE14" i="1"/>
  <c r="AE13" i="1"/>
  <c r="AE12" i="1"/>
  <c r="AE10" i="1"/>
  <c r="AE9" i="1"/>
  <c r="AE8" i="1"/>
  <c r="AD22" i="1"/>
  <c r="AD21" i="1"/>
  <c r="AD20" i="1"/>
  <c r="AD18" i="1"/>
  <c r="AD17" i="1"/>
  <c r="AD16" i="1"/>
  <c r="AD14" i="1"/>
  <c r="AD13" i="1"/>
  <c r="AD12" i="1"/>
  <c r="AD10" i="1"/>
  <c r="AD9" i="1"/>
  <c r="AD8" i="1"/>
  <c r="AD6" i="1"/>
  <c r="AD5" i="1"/>
  <c r="AD4" i="1"/>
  <c r="AC22" i="1"/>
  <c r="AC21" i="1"/>
  <c r="AC20" i="1"/>
  <c r="AC18" i="1"/>
  <c r="AC17" i="1"/>
  <c r="AC16" i="1"/>
  <c r="AC14" i="1"/>
  <c r="AC13" i="1"/>
  <c r="AC12" i="1"/>
  <c r="AC10" i="1"/>
  <c r="AC9" i="1"/>
  <c r="AC8" i="1"/>
  <c r="AC6" i="1"/>
  <c r="AC5" i="1"/>
  <c r="AC4" i="1"/>
  <c r="N2" i="1"/>
  <c r="AH22" i="1" l="1"/>
  <c r="AH6" i="1"/>
  <c r="W2" i="1" l="1"/>
  <c r="S2" i="1"/>
  <c r="J2" i="1"/>
  <c r="F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</calcChain>
</file>

<file path=xl/sharedStrings.xml><?xml version="1.0" encoding="utf-8"?>
<sst xmlns="http://schemas.openxmlformats.org/spreadsheetml/2006/main" count="16" uniqueCount="12">
  <si>
    <t>Flammability</t>
  </si>
  <si>
    <t>Ave.</t>
  </si>
  <si>
    <t>Duration</t>
  </si>
  <si>
    <t>Ignition</t>
  </si>
  <si>
    <t>Odor</t>
  </si>
  <si>
    <t>Size</t>
  </si>
  <si>
    <t>Respondents</t>
  </si>
  <si>
    <t>I.</t>
  </si>
  <si>
    <t>II.</t>
  </si>
  <si>
    <t>III.</t>
  </si>
  <si>
    <t>IV.</t>
  </si>
  <si>
    <t>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</si>
</sst>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9538-D3A7-4C74-A99C-24CB8F712FED}">
  <dimension ref="A1:AH27"/>
  <sheetViews>
    <sheetView tabSelected="1" topLeftCell="D1" zoomScale="70" zoomScaleNormal="70" workbookViewId="0">
      <selection activeCell="L14" sqref="L14"/>
    </sheetView>
  </sheetViews>
  <sheetFormatPr defaultRowHeight="14.5" x14ac:dyDescent="0.35"/>
  <cols>
    <col min="1" max="1" width="14.54296875" customWidth="1"/>
    <col min="2" max="2" width="4.54296875" customWidth="1"/>
    <col min="3" max="5" width="7.26953125" customWidth="1"/>
    <col min="6" max="6" width="9.90625" customWidth="1"/>
    <col min="7" max="9" width="7.26953125" customWidth="1"/>
    <col min="11" max="13" width="7.26953125" customWidth="1"/>
    <col min="15" max="15" width="4.54296875" customWidth="1"/>
    <col min="16" max="18" width="7.26953125" customWidth="1"/>
    <col min="20" max="22" width="7.26953125" customWidth="1"/>
  </cols>
  <sheetData>
    <row r="1" spans="1:34" ht="24.5" customHeight="1" x14ac:dyDescent="0.35">
      <c r="A1" s="3" t="s">
        <v>6</v>
      </c>
      <c r="B1" s="6"/>
      <c r="C1" s="9" t="s">
        <v>0</v>
      </c>
      <c r="D1" s="9"/>
      <c r="E1" s="9"/>
      <c r="F1" s="4" t="s">
        <v>1</v>
      </c>
      <c r="G1" s="9" t="s">
        <v>2</v>
      </c>
      <c r="H1" s="9"/>
      <c r="I1" s="9"/>
      <c r="J1" s="4" t="s">
        <v>1</v>
      </c>
      <c r="K1" s="9" t="s">
        <v>3</v>
      </c>
      <c r="L1" s="9"/>
      <c r="M1" s="9"/>
      <c r="N1" s="4" t="s">
        <v>1</v>
      </c>
      <c r="O1" s="6"/>
      <c r="P1" s="9" t="s">
        <v>4</v>
      </c>
      <c r="Q1" s="9"/>
      <c r="R1" s="9"/>
      <c r="S1" s="4" t="s">
        <v>1</v>
      </c>
      <c r="T1" s="9" t="s">
        <v>5</v>
      </c>
      <c r="U1" s="9"/>
      <c r="V1" s="9"/>
      <c r="W1" s="4" t="s">
        <v>1</v>
      </c>
    </row>
    <row r="2" spans="1:34" x14ac:dyDescent="0.35">
      <c r="A2" s="2">
        <v>1</v>
      </c>
      <c r="B2" s="7"/>
      <c r="C2" s="1">
        <v>4</v>
      </c>
      <c r="D2" s="1">
        <v>4</v>
      </c>
      <c r="E2" s="1">
        <v>4</v>
      </c>
      <c r="F2" s="5">
        <f>AVERAGE(C2:E2)</f>
        <v>4</v>
      </c>
      <c r="G2" s="1">
        <v>4</v>
      </c>
      <c r="H2" s="1">
        <v>4</v>
      </c>
      <c r="I2" s="1">
        <v>4</v>
      </c>
      <c r="J2" s="5">
        <f>AVERAGE(G2:I2)</f>
        <v>4</v>
      </c>
      <c r="K2" s="1">
        <v>4</v>
      </c>
      <c r="L2" s="1">
        <v>4</v>
      </c>
      <c r="M2" s="1">
        <v>4</v>
      </c>
      <c r="N2" s="5">
        <f>AVERAGE(K2:M2)</f>
        <v>4</v>
      </c>
      <c r="O2" s="7"/>
      <c r="P2" s="1">
        <v>4</v>
      </c>
      <c r="Q2" s="1">
        <v>4</v>
      </c>
      <c r="R2" s="1">
        <v>4</v>
      </c>
      <c r="S2" s="5">
        <f>AVERAGE(P2:R2)</f>
        <v>4</v>
      </c>
      <c r="T2" s="1">
        <v>3</v>
      </c>
      <c r="U2" s="1">
        <v>3</v>
      </c>
      <c r="V2" s="1">
        <v>4</v>
      </c>
      <c r="W2" s="5">
        <f>AVERAGE(T2:V2)</f>
        <v>3.3333333333333335</v>
      </c>
      <c r="AC2">
        <v>4</v>
      </c>
      <c r="AD2">
        <v>3</v>
      </c>
      <c r="AE2">
        <v>2</v>
      </c>
      <c r="AF2">
        <v>1</v>
      </c>
    </row>
    <row r="3" spans="1:34" x14ac:dyDescent="0.35">
      <c r="A3" s="2">
        <v>2</v>
      </c>
      <c r="B3" s="7"/>
      <c r="C3" s="1">
        <v>3</v>
      </c>
      <c r="D3" s="1">
        <v>4</v>
      </c>
      <c r="E3" s="1">
        <v>3</v>
      </c>
      <c r="F3" s="5">
        <f>AVERAGE(C3:E3)</f>
        <v>3.3333333333333335</v>
      </c>
      <c r="G3" s="1">
        <v>3</v>
      </c>
      <c r="H3" s="1">
        <v>3</v>
      </c>
      <c r="I3" s="1">
        <v>3</v>
      </c>
      <c r="J3" s="5">
        <f t="shared" ref="J3:J27" si="0">AVERAGE(G3:I3)</f>
        <v>3</v>
      </c>
      <c r="K3" s="1">
        <v>3</v>
      </c>
      <c r="L3" s="1">
        <v>3</v>
      </c>
      <c r="M3" s="1">
        <v>3</v>
      </c>
      <c r="N3" s="5">
        <f t="shared" ref="N3:N27" si="1">AVERAGE(K3:M3)</f>
        <v>3</v>
      </c>
      <c r="O3" s="7"/>
      <c r="P3" s="1">
        <v>3</v>
      </c>
      <c r="Q3" s="1">
        <v>3</v>
      </c>
      <c r="R3" s="1">
        <v>3</v>
      </c>
      <c r="S3" s="5">
        <f t="shared" ref="S3:S27" si="2">AVERAGE(P3:R3)</f>
        <v>3</v>
      </c>
      <c r="T3" s="1">
        <v>3</v>
      </c>
      <c r="U3" s="1">
        <v>3</v>
      </c>
      <c r="V3" s="1">
        <v>3</v>
      </c>
      <c r="W3" s="5">
        <f t="shared" ref="W3:W27" si="3">AVERAGE(T3:V3)</f>
        <v>3</v>
      </c>
      <c r="AC3" t="s">
        <v>7</v>
      </c>
    </row>
    <row r="4" spans="1:34" x14ac:dyDescent="0.35">
      <c r="A4" s="2">
        <v>3</v>
      </c>
      <c r="B4" s="7"/>
      <c r="C4" s="1">
        <v>3</v>
      </c>
      <c r="D4" s="1">
        <v>3</v>
      </c>
      <c r="E4" s="1">
        <v>3</v>
      </c>
      <c r="F4" s="5">
        <f t="shared" ref="F4:F27" si="4">AVERAGE(C4:E4)</f>
        <v>3</v>
      </c>
      <c r="G4" s="1">
        <v>2</v>
      </c>
      <c r="H4" s="1">
        <v>3</v>
      </c>
      <c r="I4" s="1">
        <v>2</v>
      </c>
      <c r="J4" s="5">
        <f t="shared" si="0"/>
        <v>2.3333333333333335</v>
      </c>
      <c r="K4" s="1">
        <v>3</v>
      </c>
      <c r="L4" s="1">
        <v>3</v>
      </c>
      <c r="M4" s="1">
        <v>3</v>
      </c>
      <c r="N4" s="5">
        <f t="shared" si="1"/>
        <v>3</v>
      </c>
      <c r="O4" s="7"/>
      <c r="P4" s="1">
        <v>2</v>
      </c>
      <c r="Q4" s="1">
        <v>4</v>
      </c>
      <c r="R4" s="1">
        <v>3</v>
      </c>
      <c r="S4" s="5">
        <f t="shared" si="2"/>
        <v>3</v>
      </c>
      <c r="T4" s="1">
        <v>3</v>
      </c>
      <c r="U4" s="1">
        <v>4</v>
      </c>
      <c r="V4" s="1">
        <v>2</v>
      </c>
      <c r="W4" s="5">
        <f t="shared" si="3"/>
        <v>3</v>
      </c>
      <c r="AB4">
        <v>1</v>
      </c>
      <c r="AC4">
        <f>COUNTIF(C2:C27, 4)</f>
        <v>20</v>
      </c>
      <c r="AD4">
        <f>COUNTIF(C2:C27,3)</f>
        <v>6</v>
      </c>
      <c r="AE4">
        <f>COUNTIF(C2:C27,2)</f>
        <v>0</v>
      </c>
      <c r="AF4">
        <f>COUNTIF(C2:C27,1)</f>
        <v>0</v>
      </c>
      <c r="AG4">
        <f>AVERAGE(AC4:AF4)</f>
        <v>6.5</v>
      </c>
    </row>
    <row r="5" spans="1:34" x14ac:dyDescent="0.35">
      <c r="A5" s="2">
        <v>4</v>
      </c>
      <c r="B5" s="7"/>
      <c r="C5" s="1">
        <v>4</v>
      </c>
      <c r="D5" s="1">
        <v>3</v>
      </c>
      <c r="E5" s="1">
        <v>4</v>
      </c>
      <c r="F5" s="5">
        <f t="shared" si="4"/>
        <v>3.6666666666666665</v>
      </c>
      <c r="G5" s="1">
        <v>4</v>
      </c>
      <c r="H5" s="1">
        <v>4</v>
      </c>
      <c r="I5" s="1">
        <v>4</v>
      </c>
      <c r="J5" s="5">
        <f t="shared" si="0"/>
        <v>4</v>
      </c>
      <c r="K5" s="1">
        <v>4</v>
      </c>
      <c r="L5" s="1">
        <v>4</v>
      </c>
      <c r="M5" s="1">
        <v>4</v>
      </c>
      <c r="N5" s="5">
        <f t="shared" si="1"/>
        <v>4</v>
      </c>
      <c r="O5" s="7"/>
      <c r="P5" s="1">
        <v>4</v>
      </c>
      <c r="Q5" s="1">
        <v>4</v>
      </c>
      <c r="R5" s="1">
        <v>4</v>
      </c>
      <c r="S5" s="5">
        <f t="shared" si="2"/>
        <v>4</v>
      </c>
      <c r="T5" s="1">
        <v>4</v>
      </c>
      <c r="U5" s="1">
        <v>4</v>
      </c>
      <c r="V5" s="1">
        <v>4</v>
      </c>
      <c r="W5" s="5">
        <f t="shared" si="3"/>
        <v>4</v>
      </c>
      <c r="AB5">
        <v>2</v>
      </c>
      <c r="AC5">
        <f>COUNTIF(D2:D27, 4)</f>
        <v>22</v>
      </c>
      <c r="AD5">
        <f>COUNTIF(D2:D27,3)</f>
        <v>4</v>
      </c>
      <c r="AE5">
        <f>COUNTIF(D2:D27,2)</f>
        <v>0</v>
      </c>
      <c r="AF5">
        <f>COUNTIF(D2:D27,1)</f>
        <v>0</v>
      </c>
      <c r="AG5">
        <f t="shared" ref="AG5:AG22" si="5">AVERAGE(AC5:AF5)</f>
        <v>6.5</v>
      </c>
    </row>
    <row r="6" spans="1:34" x14ac:dyDescent="0.35">
      <c r="A6" s="2">
        <v>5</v>
      </c>
      <c r="B6" s="7"/>
      <c r="C6" s="1">
        <v>3</v>
      </c>
      <c r="D6" s="1">
        <v>4</v>
      </c>
      <c r="E6" s="1">
        <v>3</v>
      </c>
      <c r="F6" s="5">
        <f t="shared" si="4"/>
        <v>3.3333333333333335</v>
      </c>
      <c r="G6" s="1">
        <v>3</v>
      </c>
      <c r="H6" s="1">
        <v>4</v>
      </c>
      <c r="I6" s="1">
        <v>3</v>
      </c>
      <c r="J6" s="5">
        <f t="shared" si="0"/>
        <v>3.3333333333333335</v>
      </c>
      <c r="K6" s="1">
        <v>3</v>
      </c>
      <c r="L6" s="1">
        <v>4</v>
      </c>
      <c r="M6" s="1">
        <v>2</v>
      </c>
      <c r="N6" s="5">
        <f t="shared" si="1"/>
        <v>3</v>
      </c>
      <c r="O6" s="7"/>
      <c r="P6" s="1">
        <v>3</v>
      </c>
      <c r="Q6" s="1">
        <v>4</v>
      </c>
      <c r="R6" s="1">
        <v>4</v>
      </c>
      <c r="S6" s="5">
        <f t="shared" si="2"/>
        <v>3.6666666666666665</v>
      </c>
      <c r="T6" s="1">
        <v>3</v>
      </c>
      <c r="U6" s="1">
        <v>3</v>
      </c>
      <c r="V6" s="1">
        <v>3</v>
      </c>
      <c r="W6" s="5">
        <f t="shared" si="3"/>
        <v>3</v>
      </c>
      <c r="AB6">
        <v>3</v>
      </c>
      <c r="AC6">
        <f>COUNTIF(E2:E27, 4)</f>
        <v>20</v>
      </c>
      <c r="AD6">
        <f>COUNTIF(E2:E27,3)</f>
        <v>6</v>
      </c>
      <c r="AE6">
        <f>COUNTIF(E2:E27,2)</f>
        <v>0</v>
      </c>
      <c r="AF6">
        <f>COUNTIF(E2:E27,1)</f>
        <v>0</v>
      </c>
      <c r="AG6">
        <f>AVERAGE(AC6:AF6)</f>
        <v>6.5</v>
      </c>
      <c r="AH6">
        <f>AVERAGE(AC4:AF6)</f>
        <v>6.5</v>
      </c>
    </row>
    <row r="7" spans="1:34" x14ac:dyDescent="0.35">
      <c r="A7" s="2">
        <v>6</v>
      </c>
      <c r="B7" s="7"/>
      <c r="C7" s="1">
        <v>4</v>
      </c>
      <c r="D7" s="1">
        <v>4</v>
      </c>
      <c r="E7" s="1">
        <v>4</v>
      </c>
      <c r="F7" s="5">
        <f t="shared" si="4"/>
        <v>4</v>
      </c>
      <c r="G7" s="1">
        <v>4</v>
      </c>
      <c r="H7" s="1">
        <v>4</v>
      </c>
      <c r="I7" s="1">
        <v>4</v>
      </c>
      <c r="J7" s="5">
        <f t="shared" si="0"/>
        <v>4</v>
      </c>
      <c r="K7" s="1">
        <v>4</v>
      </c>
      <c r="L7" s="1">
        <v>4</v>
      </c>
      <c r="M7" s="1">
        <v>4</v>
      </c>
      <c r="N7" s="5">
        <f t="shared" si="1"/>
        <v>4</v>
      </c>
      <c r="O7" s="7"/>
      <c r="P7" s="1">
        <v>2</v>
      </c>
      <c r="Q7" s="1">
        <v>4</v>
      </c>
      <c r="R7" s="1">
        <v>4</v>
      </c>
      <c r="S7" s="5">
        <f t="shared" si="2"/>
        <v>3.3333333333333335</v>
      </c>
      <c r="T7" s="1">
        <v>2</v>
      </c>
      <c r="U7" s="1">
        <v>4</v>
      </c>
      <c r="V7" s="1">
        <v>4</v>
      </c>
      <c r="W7" s="5">
        <f t="shared" si="3"/>
        <v>3.3333333333333335</v>
      </c>
      <c r="AC7" t="s">
        <v>8</v>
      </c>
    </row>
    <row r="8" spans="1:34" x14ac:dyDescent="0.35">
      <c r="A8" s="2">
        <v>7</v>
      </c>
      <c r="B8" s="7"/>
      <c r="C8" s="1">
        <v>4</v>
      </c>
      <c r="D8" s="1">
        <v>4</v>
      </c>
      <c r="E8" s="1">
        <v>4</v>
      </c>
      <c r="F8" s="5">
        <f t="shared" si="4"/>
        <v>4</v>
      </c>
      <c r="G8" s="1">
        <v>4</v>
      </c>
      <c r="H8" s="1">
        <v>4</v>
      </c>
      <c r="I8" s="1">
        <v>4</v>
      </c>
      <c r="J8" s="5">
        <f t="shared" si="0"/>
        <v>4</v>
      </c>
      <c r="K8" s="1">
        <v>4</v>
      </c>
      <c r="L8" s="1">
        <v>4</v>
      </c>
      <c r="M8" s="1">
        <v>4</v>
      </c>
      <c r="N8" s="5">
        <f t="shared" si="1"/>
        <v>4</v>
      </c>
      <c r="O8" s="7"/>
      <c r="P8" s="1">
        <v>4</v>
      </c>
      <c r="Q8" s="1">
        <v>4</v>
      </c>
      <c r="R8" s="1">
        <v>4</v>
      </c>
      <c r="S8" s="5">
        <f t="shared" si="2"/>
        <v>4</v>
      </c>
      <c r="T8" s="1">
        <v>4</v>
      </c>
      <c r="U8" s="1">
        <v>4</v>
      </c>
      <c r="V8" s="1">
        <v>4</v>
      </c>
      <c r="W8" s="5">
        <f t="shared" si="3"/>
        <v>4</v>
      </c>
      <c r="AB8">
        <v>1</v>
      </c>
      <c r="AC8">
        <f>COUNTIF(G2:G27, 4)</f>
        <v>20</v>
      </c>
      <c r="AD8">
        <f>COUNTIF(G2:G27,3)</f>
        <v>5</v>
      </c>
      <c r="AE8">
        <f>COUNTIF(G2:G27,2)</f>
        <v>1</v>
      </c>
      <c r="AF8">
        <f>COUNTIF(G2:G27,1)</f>
        <v>0</v>
      </c>
      <c r="AG8">
        <f>AVERAGE(AC8:AF8)</f>
        <v>6.5</v>
      </c>
    </row>
    <row r="9" spans="1:34" x14ac:dyDescent="0.35">
      <c r="A9" s="2">
        <v>8</v>
      </c>
      <c r="B9" s="7"/>
      <c r="C9" s="1">
        <v>4</v>
      </c>
      <c r="D9" s="1">
        <v>4</v>
      </c>
      <c r="E9" s="1">
        <v>4</v>
      </c>
      <c r="F9" s="5">
        <f t="shared" si="4"/>
        <v>4</v>
      </c>
      <c r="G9" s="1">
        <v>4</v>
      </c>
      <c r="H9" s="1">
        <v>4</v>
      </c>
      <c r="I9" s="1">
        <v>3</v>
      </c>
      <c r="J9" s="5">
        <f t="shared" si="0"/>
        <v>3.6666666666666665</v>
      </c>
      <c r="K9" s="1">
        <v>4</v>
      </c>
      <c r="L9" s="1">
        <v>4</v>
      </c>
      <c r="M9" s="1">
        <v>4</v>
      </c>
      <c r="N9" s="5">
        <f t="shared" si="1"/>
        <v>4</v>
      </c>
      <c r="O9" s="7"/>
      <c r="P9" s="1">
        <v>2</v>
      </c>
      <c r="Q9" s="1">
        <v>3</v>
      </c>
      <c r="R9" s="1">
        <v>4</v>
      </c>
      <c r="S9" s="5">
        <f t="shared" si="2"/>
        <v>3</v>
      </c>
      <c r="T9" s="1">
        <v>4</v>
      </c>
      <c r="U9" s="1">
        <v>4</v>
      </c>
      <c r="V9" s="1">
        <v>4</v>
      </c>
      <c r="W9" s="5">
        <f t="shared" si="3"/>
        <v>4</v>
      </c>
      <c r="AB9">
        <v>2</v>
      </c>
      <c r="AC9">
        <f>COUNTIF(H2:H27, 4)</f>
        <v>18</v>
      </c>
      <c r="AD9">
        <f>COUNTIF(H2:H27,3)</f>
        <v>7</v>
      </c>
      <c r="AE9">
        <f>COUNTIF(H2:H27,2)</f>
        <v>1</v>
      </c>
      <c r="AF9">
        <f>COUNTIF(H2:H27,1)</f>
        <v>0</v>
      </c>
      <c r="AG9">
        <f t="shared" si="5"/>
        <v>6.5</v>
      </c>
    </row>
    <row r="10" spans="1:34" x14ac:dyDescent="0.35">
      <c r="A10" s="2">
        <v>9</v>
      </c>
      <c r="B10" s="7"/>
      <c r="C10" s="1">
        <v>3</v>
      </c>
      <c r="D10" s="1">
        <v>4</v>
      </c>
      <c r="E10" s="1">
        <v>4</v>
      </c>
      <c r="F10" s="5">
        <f t="shared" si="4"/>
        <v>3.6666666666666665</v>
      </c>
      <c r="G10" s="1">
        <v>3</v>
      </c>
      <c r="H10" s="1">
        <v>3</v>
      </c>
      <c r="I10" s="1">
        <v>4</v>
      </c>
      <c r="J10" s="5">
        <f t="shared" si="0"/>
        <v>3.3333333333333335</v>
      </c>
      <c r="K10" s="1">
        <v>4</v>
      </c>
      <c r="L10" s="1">
        <v>4</v>
      </c>
      <c r="M10" s="1">
        <v>4</v>
      </c>
      <c r="N10" s="5">
        <f t="shared" si="1"/>
        <v>4</v>
      </c>
      <c r="O10" s="7"/>
      <c r="P10" s="1">
        <v>3</v>
      </c>
      <c r="Q10" s="1">
        <v>1</v>
      </c>
      <c r="R10" s="1">
        <v>4</v>
      </c>
      <c r="S10" s="5">
        <f t="shared" si="2"/>
        <v>2.6666666666666665</v>
      </c>
      <c r="T10" s="1">
        <v>1</v>
      </c>
      <c r="U10" s="1">
        <v>3</v>
      </c>
      <c r="V10" s="1">
        <v>4</v>
      </c>
      <c r="W10" s="5">
        <f t="shared" si="3"/>
        <v>2.6666666666666665</v>
      </c>
      <c r="AB10">
        <v>3</v>
      </c>
      <c r="AC10">
        <f>COUNTIF(I2:I27, 4)</f>
        <v>17</v>
      </c>
      <c r="AD10">
        <f>COUNTIF(I2:I27,3)</f>
        <v>6</v>
      </c>
      <c r="AE10">
        <f>COUNTIF(I2:I27,2)</f>
        <v>2</v>
      </c>
      <c r="AF10">
        <f>COUNTIF(I2:I27,1)</f>
        <v>1</v>
      </c>
      <c r="AG10">
        <f>AVERAGE(AC10:AF10)</f>
        <v>6.5</v>
      </c>
      <c r="AH10">
        <f>AVERAGE(AC8:AF10)</f>
        <v>6.5</v>
      </c>
    </row>
    <row r="11" spans="1:34" x14ac:dyDescent="0.35">
      <c r="A11" s="2">
        <v>10</v>
      </c>
      <c r="B11" s="7"/>
      <c r="C11" s="1">
        <v>4</v>
      </c>
      <c r="D11" s="1">
        <v>4</v>
      </c>
      <c r="E11" s="1">
        <v>4</v>
      </c>
      <c r="F11" s="5">
        <f t="shared" si="4"/>
        <v>4</v>
      </c>
      <c r="G11" s="1">
        <v>4</v>
      </c>
      <c r="H11" s="1">
        <v>4</v>
      </c>
      <c r="I11" s="1">
        <v>3</v>
      </c>
      <c r="J11" s="5">
        <f t="shared" si="0"/>
        <v>3.6666666666666665</v>
      </c>
      <c r="K11" s="1">
        <v>4</v>
      </c>
      <c r="L11" s="1">
        <v>3</v>
      </c>
      <c r="M11" s="1">
        <v>4</v>
      </c>
      <c r="N11" s="5">
        <f t="shared" si="1"/>
        <v>3.6666666666666665</v>
      </c>
      <c r="O11" s="7"/>
      <c r="P11" s="1">
        <v>4</v>
      </c>
      <c r="Q11" s="1">
        <v>4</v>
      </c>
      <c r="R11" s="1">
        <v>4</v>
      </c>
      <c r="S11" s="5">
        <f t="shared" si="2"/>
        <v>4</v>
      </c>
      <c r="T11" s="1">
        <v>4</v>
      </c>
      <c r="U11" s="1">
        <v>3</v>
      </c>
      <c r="V11" s="1">
        <v>3</v>
      </c>
      <c r="W11" s="5">
        <f t="shared" si="3"/>
        <v>3.3333333333333335</v>
      </c>
      <c r="AC11" t="s">
        <v>9</v>
      </c>
    </row>
    <row r="12" spans="1:34" x14ac:dyDescent="0.35">
      <c r="A12" s="2">
        <v>11</v>
      </c>
      <c r="B12" s="7"/>
      <c r="C12" s="1">
        <v>4</v>
      </c>
      <c r="D12" s="1">
        <v>4</v>
      </c>
      <c r="E12" s="1">
        <v>4</v>
      </c>
      <c r="F12" s="5">
        <f t="shared" si="4"/>
        <v>4</v>
      </c>
      <c r="G12" s="1">
        <v>4</v>
      </c>
      <c r="H12" s="1">
        <v>4</v>
      </c>
      <c r="I12" s="1">
        <v>4</v>
      </c>
      <c r="J12" s="5">
        <f t="shared" si="0"/>
        <v>4</v>
      </c>
      <c r="K12" s="1">
        <v>4</v>
      </c>
      <c r="L12" s="1">
        <v>4</v>
      </c>
      <c r="M12" s="1">
        <v>4</v>
      </c>
      <c r="N12" s="5">
        <f t="shared" si="1"/>
        <v>4</v>
      </c>
      <c r="O12" s="7"/>
      <c r="P12" s="1">
        <v>4</v>
      </c>
      <c r="Q12" s="1">
        <v>4</v>
      </c>
      <c r="R12" s="1">
        <v>4</v>
      </c>
      <c r="S12" s="5">
        <f t="shared" si="2"/>
        <v>4</v>
      </c>
      <c r="T12" s="1">
        <v>4</v>
      </c>
      <c r="U12" s="1">
        <v>4</v>
      </c>
      <c r="V12" s="1">
        <v>4</v>
      </c>
      <c r="W12" s="5">
        <f t="shared" si="3"/>
        <v>4</v>
      </c>
      <c r="AB12">
        <v>1</v>
      </c>
      <c r="AC12">
        <f>COUNTIF(K2:K27, 4)</f>
        <v>17</v>
      </c>
      <c r="AD12">
        <f>COUNTIF(K2:K27,3)</f>
        <v>4</v>
      </c>
      <c r="AE12">
        <f>COUNTIF(K2:K27,2)</f>
        <v>3</v>
      </c>
      <c r="AF12">
        <f>COUNTIF(K2:K27,1)</f>
        <v>2</v>
      </c>
      <c r="AG12">
        <f>AVERAGE(AC12:AF12)</f>
        <v>6.5</v>
      </c>
    </row>
    <row r="13" spans="1:34" x14ac:dyDescent="0.35">
      <c r="A13" s="2">
        <v>12</v>
      </c>
      <c r="B13" s="7"/>
      <c r="C13" s="1">
        <v>3</v>
      </c>
      <c r="D13" s="1">
        <v>3</v>
      </c>
      <c r="E13" s="1">
        <v>3</v>
      </c>
      <c r="F13" s="5">
        <f t="shared" si="4"/>
        <v>3</v>
      </c>
      <c r="G13" s="1">
        <v>4</v>
      </c>
      <c r="H13" s="1">
        <v>3</v>
      </c>
      <c r="I13" s="1">
        <v>2</v>
      </c>
      <c r="J13" s="5">
        <f t="shared" si="0"/>
        <v>3</v>
      </c>
      <c r="K13" s="1">
        <v>2</v>
      </c>
      <c r="L13" s="1">
        <v>1</v>
      </c>
      <c r="M13" s="1">
        <v>3</v>
      </c>
      <c r="N13" s="5">
        <f t="shared" si="1"/>
        <v>2</v>
      </c>
      <c r="O13" s="7"/>
      <c r="P13" s="1">
        <v>2</v>
      </c>
      <c r="Q13" s="1">
        <v>2</v>
      </c>
      <c r="R13" s="1">
        <v>2</v>
      </c>
      <c r="S13" s="5">
        <f t="shared" si="2"/>
        <v>2</v>
      </c>
      <c r="T13" s="1">
        <v>4</v>
      </c>
      <c r="U13" s="1">
        <v>2</v>
      </c>
      <c r="V13" s="1">
        <v>3</v>
      </c>
      <c r="W13" s="5">
        <f t="shared" si="3"/>
        <v>3</v>
      </c>
      <c r="AB13">
        <v>2</v>
      </c>
      <c r="AC13">
        <f>COUNTIF(L2:L27, 4)</f>
        <v>19</v>
      </c>
      <c r="AD13">
        <f>COUNTIF(L2:L27,3)</f>
        <v>5</v>
      </c>
      <c r="AE13">
        <f>COUNTIF(L2:L27,2)</f>
        <v>1</v>
      </c>
      <c r="AF13">
        <f>COUNTIF(L2:L27,1)</f>
        <v>1</v>
      </c>
      <c r="AG13">
        <f>AVERAGE(AC13:AF13)</f>
        <v>6.5</v>
      </c>
    </row>
    <row r="14" spans="1:34" x14ac:dyDescent="0.35">
      <c r="A14" s="2">
        <v>13</v>
      </c>
      <c r="B14" s="7"/>
      <c r="C14" s="1">
        <v>4</v>
      </c>
      <c r="D14" s="1">
        <v>4</v>
      </c>
      <c r="E14" s="1">
        <v>4</v>
      </c>
      <c r="F14" s="5">
        <f t="shared" si="4"/>
        <v>4</v>
      </c>
      <c r="G14" s="1">
        <v>4</v>
      </c>
      <c r="H14" s="1">
        <v>4</v>
      </c>
      <c r="I14" s="1">
        <v>4</v>
      </c>
      <c r="J14" s="5">
        <f t="shared" si="0"/>
        <v>4</v>
      </c>
      <c r="K14" s="1">
        <v>4</v>
      </c>
      <c r="L14" s="1">
        <v>4</v>
      </c>
      <c r="M14" s="1">
        <v>4</v>
      </c>
      <c r="N14" s="5">
        <f t="shared" si="1"/>
        <v>4</v>
      </c>
      <c r="O14" s="7"/>
      <c r="P14" s="1">
        <v>4</v>
      </c>
      <c r="Q14" s="1">
        <v>4</v>
      </c>
      <c r="R14" s="1">
        <v>4</v>
      </c>
      <c r="S14" s="5">
        <f t="shared" si="2"/>
        <v>4</v>
      </c>
      <c r="T14" s="1">
        <v>4</v>
      </c>
      <c r="U14" s="1">
        <v>3</v>
      </c>
      <c r="V14" s="1">
        <v>4</v>
      </c>
      <c r="W14" s="5">
        <f t="shared" si="3"/>
        <v>3.6666666666666665</v>
      </c>
      <c r="AB14">
        <v>3</v>
      </c>
      <c r="AC14">
        <f>COUNTIF(M2:M27, 4)</f>
        <v>21</v>
      </c>
      <c r="AD14">
        <f>COUNTIF(M2:M27,3)</f>
        <v>3</v>
      </c>
      <c r="AE14">
        <f>COUNTIF(M2:M27,2)</f>
        <v>1</v>
      </c>
      <c r="AF14">
        <f>COUNTIF(M2:M27,1)</f>
        <v>1</v>
      </c>
      <c r="AG14">
        <f>AVERAGE(AC14:AF14)</f>
        <v>6.5</v>
      </c>
      <c r="AH14">
        <f>AVERAGE(AC12:AF14)</f>
        <v>6.5</v>
      </c>
    </row>
    <row r="15" spans="1:34" x14ac:dyDescent="0.35">
      <c r="A15" s="2">
        <v>14</v>
      </c>
      <c r="B15" s="7"/>
      <c r="C15" s="1">
        <v>4</v>
      </c>
      <c r="D15" s="1">
        <v>4</v>
      </c>
      <c r="E15" s="1">
        <v>4</v>
      </c>
      <c r="F15" s="5">
        <f t="shared" si="4"/>
        <v>4</v>
      </c>
      <c r="G15" s="1">
        <v>4</v>
      </c>
      <c r="H15" s="1">
        <v>4</v>
      </c>
      <c r="I15" s="1">
        <v>4</v>
      </c>
      <c r="J15" s="5">
        <f t="shared" si="0"/>
        <v>4</v>
      </c>
      <c r="K15" s="1">
        <v>1</v>
      </c>
      <c r="L15" s="1">
        <v>4</v>
      </c>
      <c r="M15" s="1">
        <v>4</v>
      </c>
      <c r="N15" s="5">
        <f t="shared" si="1"/>
        <v>3</v>
      </c>
      <c r="O15" s="7"/>
      <c r="P15" s="1">
        <v>4</v>
      </c>
      <c r="Q15" s="1">
        <v>4</v>
      </c>
      <c r="R15" s="1">
        <v>4</v>
      </c>
      <c r="S15" s="5">
        <f t="shared" si="2"/>
        <v>4</v>
      </c>
      <c r="T15" s="1">
        <v>4</v>
      </c>
      <c r="U15" s="1">
        <v>4</v>
      </c>
      <c r="V15" s="1">
        <v>4</v>
      </c>
      <c r="W15" s="5">
        <f t="shared" si="3"/>
        <v>4</v>
      </c>
      <c r="AC15" t="s">
        <v>10</v>
      </c>
    </row>
    <row r="16" spans="1:34" x14ac:dyDescent="0.35">
      <c r="A16" s="2">
        <v>15</v>
      </c>
      <c r="B16" s="7"/>
      <c r="C16" s="1">
        <v>4</v>
      </c>
      <c r="D16" s="1">
        <v>4</v>
      </c>
      <c r="E16" s="1">
        <v>4</v>
      </c>
      <c r="F16" s="5">
        <f t="shared" si="4"/>
        <v>4</v>
      </c>
      <c r="G16" s="1">
        <v>4</v>
      </c>
      <c r="H16" s="1">
        <v>4</v>
      </c>
      <c r="I16" s="1">
        <v>3</v>
      </c>
      <c r="J16" s="5">
        <f t="shared" si="0"/>
        <v>3.6666666666666665</v>
      </c>
      <c r="K16" s="1">
        <v>4</v>
      </c>
      <c r="L16" s="1">
        <v>4</v>
      </c>
      <c r="M16" s="1">
        <v>4</v>
      </c>
      <c r="N16" s="5">
        <f t="shared" si="1"/>
        <v>4</v>
      </c>
      <c r="O16" s="7"/>
      <c r="P16" s="1">
        <v>4</v>
      </c>
      <c r="Q16" s="1">
        <v>4</v>
      </c>
      <c r="R16" s="1">
        <v>4</v>
      </c>
      <c r="S16" s="5">
        <f t="shared" si="2"/>
        <v>4</v>
      </c>
      <c r="T16" s="1">
        <v>4</v>
      </c>
      <c r="U16" s="1">
        <v>4</v>
      </c>
      <c r="V16" s="1">
        <v>4</v>
      </c>
      <c r="W16" s="5">
        <f t="shared" si="3"/>
        <v>4</v>
      </c>
      <c r="AB16">
        <v>1</v>
      </c>
      <c r="AC16">
        <f>COUNTIF(P2:P27, 4)</f>
        <v>18</v>
      </c>
      <c r="AD16">
        <f>COUNTIF(P2:P27,3)</f>
        <v>3</v>
      </c>
      <c r="AE16">
        <f>COUNTIF(P2:P27,2)</f>
        <v>4</v>
      </c>
      <c r="AF16">
        <f>COUNTIF(P2:P27,1)</f>
        <v>1</v>
      </c>
      <c r="AG16">
        <f>AVERAGE(AC16:AF16)</f>
        <v>6.5</v>
      </c>
    </row>
    <row r="17" spans="1:34" x14ac:dyDescent="0.35">
      <c r="A17" s="2">
        <v>16</v>
      </c>
      <c r="B17" s="7"/>
      <c r="C17" s="1">
        <v>4</v>
      </c>
      <c r="D17" s="1">
        <v>4</v>
      </c>
      <c r="E17" s="1">
        <v>4</v>
      </c>
      <c r="F17" s="5">
        <f t="shared" si="4"/>
        <v>4</v>
      </c>
      <c r="G17" s="1">
        <v>4</v>
      </c>
      <c r="H17" s="1">
        <v>4</v>
      </c>
      <c r="I17" s="1">
        <v>4</v>
      </c>
      <c r="J17" s="5">
        <f t="shared" si="0"/>
        <v>4</v>
      </c>
      <c r="K17" s="1">
        <v>2</v>
      </c>
      <c r="L17" s="1">
        <v>4</v>
      </c>
      <c r="M17" s="1">
        <v>4</v>
      </c>
      <c r="N17" s="5">
        <f t="shared" si="1"/>
        <v>3.3333333333333335</v>
      </c>
      <c r="O17" s="7"/>
      <c r="P17" s="1">
        <v>4</v>
      </c>
      <c r="Q17" s="1">
        <v>4</v>
      </c>
      <c r="R17" s="1">
        <v>4</v>
      </c>
      <c r="S17" s="5">
        <f t="shared" si="2"/>
        <v>4</v>
      </c>
      <c r="T17" s="1">
        <v>4</v>
      </c>
      <c r="U17" s="1">
        <v>4</v>
      </c>
      <c r="V17" s="1">
        <v>4</v>
      </c>
      <c r="W17" s="5">
        <f t="shared" si="3"/>
        <v>4</v>
      </c>
      <c r="AB17">
        <v>2</v>
      </c>
      <c r="AC17">
        <f>COUNTIF(Q2:Q27, 4)</f>
        <v>19</v>
      </c>
      <c r="AD17">
        <f>COUNTIF(Q2:Q27,3)</f>
        <v>4</v>
      </c>
      <c r="AE17">
        <f>COUNTIF(Q2:Q27,2)</f>
        <v>2</v>
      </c>
      <c r="AF17">
        <f>COUNTIF(Q2:Q27,1)</f>
        <v>1</v>
      </c>
      <c r="AG17">
        <f t="shared" si="5"/>
        <v>6.5</v>
      </c>
    </row>
    <row r="18" spans="1:34" x14ac:dyDescent="0.35">
      <c r="A18" s="2">
        <v>17</v>
      </c>
      <c r="B18" s="7"/>
      <c r="C18" s="1">
        <v>4</v>
      </c>
      <c r="D18" s="1">
        <v>4</v>
      </c>
      <c r="E18" s="1">
        <v>4</v>
      </c>
      <c r="F18" s="5">
        <f t="shared" si="4"/>
        <v>4</v>
      </c>
      <c r="G18" s="1">
        <v>4</v>
      </c>
      <c r="H18" s="1">
        <v>4</v>
      </c>
      <c r="I18" s="1">
        <v>4</v>
      </c>
      <c r="J18" s="5">
        <f t="shared" si="0"/>
        <v>4</v>
      </c>
      <c r="K18" s="1">
        <v>4</v>
      </c>
      <c r="L18" s="1">
        <v>4</v>
      </c>
      <c r="M18" s="1">
        <v>4</v>
      </c>
      <c r="N18" s="5">
        <f t="shared" si="1"/>
        <v>4</v>
      </c>
      <c r="O18" s="7"/>
      <c r="P18" s="1">
        <v>4</v>
      </c>
      <c r="Q18" s="1">
        <v>4</v>
      </c>
      <c r="R18" s="1">
        <v>3</v>
      </c>
      <c r="S18" s="5">
        <f t="shared" si="2"/>
        <v>3.6666666666666665</v>
      </c>
      <c r="T18" s="1">
        <v>4</v>
      </c>
      <c r="U18" s="1">
        <v>3</v>
      </c>
      <c r="V18" s="1">
        <v>4</v>
      </c>
      <c r="W18" s="5">
        <f t="shared" si="3"/>
        <v>3.6666666666666665</v>
      </c>
      <c r="AB18">
        <v>3</v>
      </c>
      <c r="AC18">
        <f>COUNTIF(R2:R27, 4)</f>
        <v>21</v>
      </c>
      <c r="AD18">
        <f>COUNTIF(R2:R27,3)</f>
        <v>3</v>
      </c>
      <c r="AE18">
        <f>COUNTIF(R2:R27,2)</f>
        <v>1</v>
      </c>
      <c r="AF18">
        <f>COUNTIF(R2:R27,1)</f>
        <v>1</v>
      </c>
      <c r="AG18">
        <f>AVERAGE(AC18:AF18)</f>
        <v>6.5</v>
      </c>
      <c r="AH18">
        <f>AVERAGE(AC16:AF18)</f>
        <v>6.5</v>
      </c>
    </row>
    <row r="19" spans="1:34" x14ac:dyDescent="0.35">
      <c r="A19" s="2">
        <v>18</v>
      </c>
      <c r="B19" s="7"/>
      <c r="C19" s="1">
        <v>4</v>
      </c>
      <c r="D19" s="1">
        <v>4</v>
      </c>
      <c r="E19" s="1">
        <v>3</v>
      </c>
      <c r="F19" s="5">
        <f t="shared" si="4"/>
        <v>3.6666666666666665</v>
      </c>
      <c r="G19" s="1">
        <v>4</v>
      </c>
      <c r="H19" s="1">
        <v>3</v>
      </c>
      <c r="I19" s="1">
        <v>4</v>
      </c>
      <c r="J19" s="5">
        <f t="shared" si="0"/>
        <v>3.6666666666666665</v>
      </c>
      <c r="K19" s="1">
        <v>4</v>
      </c>
      <c r="L19" s="1">
        <v>3</v>
      </c>
      <c r="M19" s="1">
        <v>4</v>
      </c>
      <c r="N19" s="5">
        <f t="shared" si="1"/>
        <v>3.6666666666666665</v>
      </c>
      <c r="O19" s="7"/>
      <c r="P19" s="1">
        <v>4</v>
      </c>
      <c r="Q19" s="1">
        <v>3</v>
      </c>
      <c r="R19" s="1">
        <v>4</v>
      </c>
      <c r="S19" s="5">
        <f t="shared" si="2"/>
        <v>3.6666666666666665</v>
      </c>
      <c r="T19" s="1">
        <v>4</v>
      </c>
      <c r="U19" s="1">
        <v>3</v>
      </c>
      <c r="V19" s="1">
        <v>4</v>
      </c>
      <c r="W19" s="5">
        <f t="shared" si="3"/>
        <v>3.6666666666666665</v>
      </c>
      <c r="AC19" t="s">
        <v>11</v>
      </c>
    </row>
    <row r="20" spans="1:34" x14ac:dyDescent="0.35">
      <c r="A20" s="2">
        <v>19</v>
      </c>
      <c r="B20" s="7"/>
      <c r="C20" s="1">
        <v>4</v>
      </c>
      <c r="D20" s="1">
        <v>4</v>
      </c>
      <c r="E20" s="1">
        <v>4</v>
      </c>
      <c r="F20" s="5">
        <f t="shared" si="4"/>
        <v>4</v>
      </c>
      <c r="G20" s="1">
        <v>4</v>
      </c>
      <c r="H20" s="1">
        <v>4</v>
      </c>
      <c r="I20" s="1">
        <v>4</v>
      </c>
      <c r="J20" s="5">
        <f t="shared" si="0"/>
        <v>4</v>
      </c>
      <c r="K20" s="1">
        <v>4</v>
      </c>
      <c r="L20" s="1">
        <v>4</v>
      </c>
      <c r="M20" s="1">
        <v>4</v>
      </c>
      <c r="N20" s="5">
        <f t="shared" si="1"/>
        <v>4</v>
      </c>
      <c r="O20" s="7"/>
      <c r="P20" s="1">
        <v>4</v>
      </c>
      <c r="Q20" s="1">
        <v>4</v>
      </c>
      <c r="R20" s="1">
        <v>4</v>
      </c>
      <c r="S20" s="5">
        <f t="shared" si="2"/>
        <v>4</v>
      </c>
      <c r="T20" s="1">
        <v>4</v>
      </c>
      <c r="U20" s="1">
        <v>4</v>
      </c>
      <c r="V20" s="1">
        <v>4</v>
      </c>
      <c r="W20" s="5">
        <f t="shared" si="3"/>
        <v>4</v>
      </c>
      <c r="AB20">
        <v>1</v>
      </c>
      <c r="AC20">
        <f>COUNTIF(T2:T27, 4)</f>
        <v>16</v>
      </c>
      <c r="AD20">
        <f>COUNTIF(T2:T27,3)</f>
        <v>8</v>
      </c>
      <c r="AE20">
        <f>COUNTIF(T2:T27,2)</f>
        <v>1</v>
      </c>
      <c r="AF20">
        <f>COUNTIF(T2:T27,1)</f>
        <v>1</v>
      </c>
      <c r="AG20">
        <f>AVERAGE(AC20:AF20)</f>
        <v>6.5</v>
      </c>
    </row>
    <row r="21" spans="1:34" x14ac:dyDescent="0.35">
      <c r="A21" s="2">
        <v>20</v>
      </c>
      <c r="B21" s="7"/>
      <c r="C21" s="1">
        <v>3</v>
      </c>
      <c r="D21" s="1">
        <v>4</v>
      </c>
      <c r="E21" s="1">
        <v>4</v>
      </c>
      <c r="F21" s="5">
        <f t="shared" si="4"/>
        <v>3.6666666666666665</v>
      </c>
      <c r="G21" s="1">
        <v>4</v>
      </c>
      <c r="H21" s="1">
        <v>4</v>
      </c>
      <c r="I21" s="1">
        <v>4</v>
      </c>
      <c r="J21" s="5">
        <f t="shared" si="0"/>
        <v>4</v>
      </c>
      <c r="K21" s="1">
        <v>4</v>
      </c>
      <c r="L21" s="1">
        <v>4</v>
      </c>
      <c r="M21" s="1">
        <v>4</v>
      </c>
      <c r="N21" s="5">
        <f t="shared" si="1"/>
        <v>4</v>
      </c>
      <c r="O21" s="7"/>
      <c r="P21" s="1">
        <v>4</v>
      </c>
      <c r="Q21" s="1">
        <v>3</v>
      </c>
      <c r="R21" s="1">
        <v>4</v>
      </c>
      <c r="S21" s="5">
        <f t="shared" si="2"/>
        <v>3.6666666666666665</v>
      </c>
      <c r="T21" s="1">
        <v>3</v>
      </c>
      <c r="U21" s="1">
        <v>4</v>
      </c>
      <c r="V21" s="1">
        <v>4</v>
      </c>
      <c r="W21" s="5">
        <f t="shared" si="3"/>
        <v>3.6666666666666665</v>
      </c>
      <c r="AB21">
        <v>2</v>
      </c>
      <c r="AC21">
        <f>COUNTIF(U2:U27, 4)</f>
        <v>15</v>
      </c>
      <c r="AD21">
        <f>COUNTIF(U2:U27,3)</f>
        <v>9</v>
      </c>
      <c r="AE21">
        <f>COUNTIF(U2:U27,2)</f>
        <v>2</v>
      </c>
      <c r="AF21">
        <f>COUNTIF(U2:U27,1)</f>
        <v>0</v>
      </c>
      <c r="AG21">
        <f>AVERAGE(AC21:AF21)</f>
        <v>6.5</v>
      </c>
    </row>
    <row r="22" spans="1:34" x14ac:dyDescent="0.35">
      <c r="A22" s="2">
        <v>21</v>
      </c>
      <c r="B22" s="7"/>
      <c r="C22" s="1">
        <v>4</v>
      </c>
      <c r="D22" s="1">
        <v>3</v>
      </c>
      <c r="E22" s="1">
        <v>4</v>
      </c>
      <c r="F22" s="5">
        <f t="shared" si="4"/>
        <v>3.6666666666666665</v>
      </c>
      <c r="G22" s="1">
        <v>4</v>
      </c>
      <c r="H22" s="1">
        <v>2</v>
      </c>
      <c r="I22" s="1">
        <v>1</v>
      </c>
      <c r="J22" s="5">
        <f t="shared" si="0"/>
        <v>2.3333333333333335</v>
      </c>
      <c r="K22" s="1">
        <v>1</v>
      </c>
      <c r="L22" s="1">
        <v>3</v>
      </c>
      <c r="M22" s="1">
        <v>1</v>
      </c>
      <c r="N22" s="5">
        <f t="shared" si="1"/>
        <v>1.6666666666666667</v>
      </c>
      <c r="O22" s="7"/>
      <c r="P22" s="1">
        <v>1</v>
      </c>
      <c r="Q22" s="1">
        <v>2</v>
      </c>
      <c r="R22" s="1">
        <v>1</v>
      </c>
      <c r="S22" s="5">
        <f t="shared" si="2"/>
        <v>1.3333333333333333</v>
      </c>
      <c r="T22" s="1">
        <v>4</v>
      </c>
      <c r="U22" s="1">
        <v>3</v>
      </c>
      <c r="V22" s="1">
        <v>1</v>
      </c>
      <c r="W22" s="5">
        <f t="shared" si="3"/>
        <v>2.6666666666666665</v>
      </c>
      <c r="AB22">
        <v>3</v>
      </c>
      <c r="AC22">
        <f>COUNTIF(V2:V27, 4)</f>
        <v>19</v>
      </c>
      <c r="AD22">
        <f>COUNTIF(V2:V27,3)</f>
        <v>5</v>
      </c>
      <c r="AE22">
        <f>COUNTIF(V2:V27,2)</f>
        <v>1</v>
      </c>
      <c r="AF22">
        <f>COUNTIF(V2:V27,1)</f>
        <v>1</v>
      </c>
      <c r="AG22">
        <f>AVERAGE(AC22:AF22)</f>
        <v>6.5</v>
      </c>
      <c r="AH22">
        <f>AVERAGE(AC20:AF22)</f>
        <v>6.5</v>
      </c>
    </row>
    <row r="23" spans="1:34" x14ac:dyDescent="0.35">
      <c r="A23" s="2">
        <v>22</v>
      </c>
      <c r="B23" s="7"/>
      <c r="C23" s="1">
        <v>4</v>
      </c>
      <c r="D23" s="1">
        <v>4</v>
      </c>
      <c r="E23" s="1">
        <v>4</v>
      </c>
      <c r="F23" s="5">
        <f t="shared" si="4"/>
        <v>4</v>
      </c>
      <c r="G23" s="1">
        <v>4</v>
      </c>
      <c r="H23" s="1">
        <v>3</v>
      </c>
      <c r="I23" s="1">
        <v>4</v>
      </c>
      <c r="J23" s="5">
        <f t="shared" si="0"/>
        <v>3.6666666666666665</v>
      </c>
      <c r="K23" s="1">
        <v>2</v>
      </c>
      <c r="L23" s="1">
        <v>2</v>
      </c>
      <c r="M23" s="1">
        <v>4</v>
      </c>
      <c r="N23" s="5">
        <f t="shared" si="1"/>
        <v>2.6666666666666665</v>
      </c>
      <c r="O23" s="7"/>
      <c r="P23" s="1">
        <v>4</v>
      </c>
      <c r="Q23" s="1">
        <v>4</v>
      </c>
      <c r="R23" s="1">
        <v>4</v>
      </c>
      <c r="S23" s="5">
        <f t="shared" si="2"/>
        <v>4</v>
      </c>
      <c r="T23" s="1">
        <v>4</v>
      </c>
      <c r="U23" s="1">
        <v>4</v>
      </c>
      <c r="V23" s="1">
        <v>3</v>
      </c>
      <c r="W23" s="5">
        <f t="shared" si="3"/>
        <v>3.6666666666666665</v>
      </c>
    </row>
    <row r="24" spans="1:34" x14ac:dyDescent="0.35">
      <c r="A24" s="2">
        <v>23</v>
      </c>
      <c r="B24" s="7"/>
      <c r="C24" s="1">
        <v>4</v>
      </c>
      <c r="D24" s="1">
        <v>4</v>
      </c>
      <c r="E24" s="1">
        <v>4</v>
      </c>
      <c r="F24" s="5">
        <f t="shared" si="4"/>
        <v>4</v>
      </c>
      <c r="G24" s="1">
        <v>3</v>
      </c>
      <c r="H24" s="1">
        <v>4</v>
      </c>
      <c r="I24" s="1">
        <v>4</v>
      </c>
      <c r="J24" s="5">
        <f t="shared" si="0"/>
        <v>3.6666666666666665</v>
      </c>
      <c r="K24" s="1">
        <v>4</v>
      </c>
      <c r="L24" s="1">
        <v>4</v>
      </c>
      <c r="M24" s="1">
        <v>4</v>
      </c>
      <c r="N24" s="5">
        <f t="shared" si="1"/>
        <v>4</v>
      </c>
      <c r="O24" s="7"/>
      <c r="P24" s="1">
        <v>4</v>
      </c>
      <c r="Q24" s="1">
        <v>4</v>
      </c>
      <c r="R24" s="1">
        <v>4</v>
      </c>
      <c r="S24" s="5">
        <f t="shared" si="2"/>
        <v>4</v>
      </c>
      <c r="T24" s="1">
        <v>3</v>
      </c>
      <c r="U24" s="1">
        <v>4</v>
      </c>
      <c r="V24" s="1">
        <v>4</v>
      </c>
      <c r="W24" s="5">
        <f t="shared" si="3"/>
        <v>3.6666666666666665</v>
      </c>
    </row>
    <row r="25" spans="1:34" x14ac:dyDescent="0.35">
      <c r="A25" s="2">
        <v>24</v>
      </c>
      <c r="B25" s="7"/>
      <c r="C25" s="1">
        <v>4</v>
      </c>
      <c r="D25" s="1">
        <v>4</v>
      </c>
      <c r="E25" s="1">
        <v>4</v>
      </c>
      <c r="F25" s="5">
        <f t="shared" si="4"/>
        <v>4</v>
      </c>
      <c r="G25" s="1">
        <v>4</v>
      </c>
      <c r="H25" s="1">
        <v>4</v>
      </c>
      <c r="I25" s="1">
        <v>3</v>
      </c>
      <c r="J25" s="5">
        <f t="shared" si="0"/>
        <v>3.6666666666666665</v>
      </c>
      <c r="K25" s="1">
        <v>3</v>
      </c>
      <c r="L25" s="1">
        <v>4</v>
      </c>
      <c r="M25" s="1">
        <v>4</v>
      </c>
      <c r="N25" s="5">
        <f t="shared" si="1"/>
        <v>3.6666666666666665</v>
      </c>
      <c r="O25" s="7"/>
      <c r="P25" s="1">
        <v>4</v>
      </c>
      <c r="Q25" s="1">
        <v>4</v>
      </c>
      <c r="R25" s="1">
        <v>4</v>
      </c>
      <c r="S25" s="5">
        <f t="shared" si="2"/>
        <v>4</v>
      </c>
      <c r="T25" s="1">
        <v>4</v>
      </c>
      <c r="U25" s="1">
        <v>2</v>
      </c>
      <c r="V25" s="1">
        <v>4</v>
      </c>
      <c r="W25" s="5">
        <f t="shared" si="3"/>
        <v>3.3333333333333335</v>
      </c>
    </row>
    <row r="26" spans="1:34" x14ac:dyDescent="0.35">
      <c r="A26" s="2">
        <v>25</v>
      </c>
      <c r="B26" s="7"/>
      <c r="C26" s="1">
        <v>4</v>
      </c>
      <c r="D26" s="1">
        <v>4</v>
      </c>
      <c r="E26" s="1">
        <v>4</v>
      </c>
      <c r="F26" s="5">
        <f t="shared" si="4"/>
        <v>4</v>
      </c>
      <c r="G26" s="1">
        <v>3</v>
      </c>
      <c r="H26" s="1">
        <v>3</v>
      </c>
      <c r="I26" s="1">
        <v>4</v>
      </c>
      <c r="J26" s="5">
        <f t="shared" si="0"/>
        <v>3.3333333333333335</v>
      </c>
      <c r="K26" s="1">
        <v>4</v>
      </c>
      <c r="L26" s="1">
        <v>4</v>
      </c>
      <c r="M26" s="1">
        <v>4</v>
      </c>
      <c r="N26" s="5">
        <f t="shared" si="1"/>
        <v>4</v>
      </c>
      <c r="O26" s="7"/>
      <c r="P26" s="1">
        <v>4</v>
      </c>
      <c r="Q26" s="1">
        <v>4</v>
      </c>
      <c r="R26" s="1">
        <v>4</v>
      </c>
      <c r="S26" s="5">
        <f t="shared" si="2"/>
        <v>4</v>
      </c>
      <c r="T26" s="1">
        <v>3</v>
      </c>
      <c r="U26" s="1">
        <v>4</v>
      </c>
      <c r="V26" s="1">
        <v>4</v>
      </c>
      <c r="W26" s="5">
        <f t="shared" si="3"/>
        <v>3.6666666666666665</v>
      </c>
    </row>
    <row r="27" spans="1:34" x14ac:dyDescent="0.35">
      <c r="A27" s="2">
        <v>26</v>
      </c>
      <c r="B27" s="8"/>
      <c r="C27" s="1">
        <v>4</v>
      </c>
      <c r="D27" s="1">
        <v>4</v>
      </c>
      <c r="E27" s="1">
        <v>3</v>
      </c>
      <c r="F27" s="5">
        <f t="shared" si="4"/>
        <v>3.6666666666666665</v>
      </c>
      <c r="G27" s="1">
        <v>4</v>
      </c>
      <c r="H27" s="1">
        <v>4</v>
      </c>
      <c r="I27" s="1">
        <v>4</v>
      </c>
      <c r="J27" s="5">
        <f t="shared" si="0"/>
        <v>4</v>
      </c>
      <c r="K27" s="1">
        <v>4</v>
      </c>
      <c r="L27" s="1">
        <v>4</v>
      </c>
      <c r="M27" s="1">
        <v>4</v>
      </c>
      <c r="N27" s="5">
        <f t="shared" si="1"/>
        <v>4</v>
      </c>
      <c r="O27" s="8"/>
      <c r="P27" s="1">
        <v>4</v>
      </c>
      <c r="Q27" s="1">
        <v>4</v>
      </c>
      <c r="R27" s="1">
        <v>4</v>
      </c>
      <c r="S27" s="5">
        <f t="shared" si="2"/>
        <v>4</v>
      </c>
      <c r="T27" s="1">
        <v>3</v>
      </c>
      <c r="U27" s="1">
        <v>4</v>
      </c>
      <c r="V27" s="1">
        <v>4</v>
      </c>
      <c r="W27" s="5">
        <f t="shared" si="3"/>
        <v>3.6666666666666665</v>
      </c>
    </row>
  </sheetData>
  <mergeCells count="7">
    <mergeCell ref="B1:B27"/>
    <mergeCell ref="O1:O27"/>
    <mergeCell ref="T1:V1"/>
    <mergeCell ref="P1:R1"/>
    <mergeCell ref="K1:M1"/>
    <mergeCell ref="G1:I1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CalmBubbles 6055</dc:creator>
  <cp:lastModifiedBy>CalmBubbles 6055</cp:lastModifiedBy>
  <dcterms:created xsi:type="dcterms:W3CDTF">2024-04-16T02:09:26Z</dcterms:created>
  <dcterms:modified xsi:type="dcterms:W3CDTF">2024-04-16T03:44:04Z</dcterms:modified>
</cp:coreProperties>
</file>